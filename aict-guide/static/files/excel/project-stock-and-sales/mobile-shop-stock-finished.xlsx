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5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Opening Stock</t>
        </is>
      </c>
      <c r="D1" s="1" t="inlineStr">
        <is>
          <t>Sold</t>
        </is>
      </c>
      <c r="E1" s="1" t="inlineStr">
        <is>
          <t>Closing Stock</t>
        </is>
      </c>
      <c r="F1" s="1" t="inlineStr">
        <is>
          <t>Sale Value (Rs)</t>
        </is>
      </c>
      <c r="G1" s="1" t="inlineStr">
        <is>
          <t>Status</t>
        </is>
      </c>
    </row>
    <row r="2">
      <c r="A2" t="inlineStr">
        <is>
          <t>Phone charger</t>
        </is>
      </c>
      <c r="B2" t="n">
        <v>450</v>
      </c>
      <c r="C2" t="n">
        <v>30</v>
      </c>
      <c r="D2" t="n">
        <v>26</v>
      </c>
      <c r="E2">
        <f>C2-D2</f>
        <v/>
      </c>
      <c r="F2">
        <f>D2*B2</f>
        <v/>
      </c>
      <c r="G2">
        <f>IF(E2&lt;5,"Order more","OK")</f>
        <v/>
      </c>
    </row>
    <row r="3" hidden="1">
      <c r="A3" t="inlineStr">
        <is>
          <t>Data cable</t>
        </is>
      </c>
      <c r="B3" t="n">
        <v>250</v>
      </c>
      <c r="C3" t="n">
        <v>40</v>
      </c>
      <c r="D3" t="n">
        <v>22</v>
      </c>
      <c r="E3">
        <f>C3-D3</f>
        <v/>
      </c>
      <c r="F3">
        <f>D3*B3</f>
        <v/>
      </c>
      <c r="G3">
        <f>IF(E3&lt;5,"Order more","OK")</f>
        <v/>
      </c>
    </row>
    <row r="4">
      <c r="A4" t="inlineStr">
        <is>
          <t>Earphones</t>
        </is>
      </c>
      <c r="B4" t="n">
        <v>350</v>
      </c>
      <c r="C4" t="n">
        <v>25</v>
      </c>
      <c r="D4" t="n">
        <v>21</v>
      </c>
      <c r="E4">
        <f>C4-D4</f>
        <v/>
      </c>
      <c r="F4">
        <f>D4*B4</f>
        <v/>
      </c>
      <c r="G4">
        <f>IF(E4&lt;5,"Order more","OK")</f>
        <v/>
      </c>
    </row>
    <row r="5" hidden="1">
      <c r="A5" t="inlineStr">
        <is>
          <t>Screen protector</t>
        </is>
      </c>
      <c r="B5" t="n">
        <v>150</v>
      </c>
      <c r="C5" t="n">
        <v>60</v>
      </c>
      <c r="D5" t="n">
        <v>48</v>
      </c>
      <c r="E5">
        <f>C5-D5</f>
        <v/>
      </c>
      <c r="F5">
        <f>D5*B5</f>
        <v/>
      </c>
      <c r="G5">
        <f>IF(E5&lt;5,"Order more","OK")</f>
        <v/>
      </c>
    </row>
    <row r="6" hidden="1">
      <c r="A6" t="inlineStr">
        <is>
          <t>Phone cover</t>
        </is>
      </c>
      <c r="B6" t="n">
        <v>300</v>
      </c>
      <c r="C6" t="n">
        <v>35</v>
      </c>
      <c r="D6" t="n">
        <v>19</v>
      </c>
      <c r="E6">
        <f>C6-D6</f>
        <v/>
      </c>
      <c r="F6">
        <f>D6*B6</f>
        <v/>
      </c>
      <c r="G6">
        <f>IF(E6&lt;5,"Order more","OK")</f>
        <v/>
      </c>
    </row>
    <row r="7">
      <c r="A7" t="inlineStr">
        <is>
          <t>Power bank</t>
        </is>
      </c>
      <c r="B7" t="n">
        <v>2200</v>
      </c>
      <c r="C7" t="n">
        <v>10</v>
      </c>
      <c r="D7" t="n">
        <v>7</v>
      </c>
      <c r="E7">
        <f>C7-D7</f>
        <v/>
      </c>
      <c r="F7">
        <f>D7*B7</f>
        <v/>
      </c>
      <c r="G7">
        <f>IF(E7&lt;5,"Order more","OK")</f>
        <v/>
      </c>
    </row>
    <row r="8" hidden="1">
      <c r="A8" t="inlineStr">
        <is>
          <t>Memory card 32 GB</t>
        </is>
      </c>
      <c r="B8" t="n">
        <v>800</v>
      </c>
      <c r="C8" t="n">
        <v>15</v>
      </c>
      <c r="D8" t="n">
        <v>9</v>
      </c>
      <c r="E8">
        <f>C8-D8</f>
        <v/>
      </c>
      <c r="F8">
        <f>D8*B8</f>
        <v/>
      </c>
      <c r="G8">
        <f>IF(E8&lt;5,"Order more","OK")</f>
        <v/>
      </c>
    </row>
    <row r="9" hidden="1">
      <c r="A9" t="inlineStr">
        <is>
          <t>Car charger</t>
        </is>
      </c>
      <c r="B9" t="n">
        <v>500</v>
      </c>
      <c r="C9" t="n">
        <v>12</v>
      </c>
      <c r="D9" t="n">
        <v>7</v>
      </c>
      <c r="E9">
        <f>C9-D9</f>
        <v/>
      </c>
      <c r="F9">
        <f>D9*B9</f>
        <v/>
      </c>
      <c r="G9">
        <f>IF(E9&lt;5,"Order more","OK")</f>
        <v/>
      </c>
    </row>
    <row r="10"/>
    <row r="11">
      <c r="A11" s="1" t="inlineStr">
        <is>
          <t>Total</t>
        </is>
      </c>
      <c r="C11">
        <f>SUM(C2:C9)</f>
        <v/>
      </c>
      <c r="D11">
        <f>SUM(D2:D9)</f>
        <v/>
      </c>
      <c r="E11">
        <f>SUM(E2:E9)</f>
        <v/>
      </c>
      <c r="F11">
        <f>SUM(F2:F9)</f>
        <v/>
      </c>
    </row>
  </sheetData>
  <autoFilter ref="A1:G9">
    <filterColumn colId="6" hiddenButton="0" showButton="1">
      <filters blank="0">
        <filter val="Order more"/>
      </filters>
    </filterColumn>
  </autoFilter>
  <conditionalFormatting sqref="G2:G9">
    <cfRule type="containsText" priority="1" operator="containsText" dxfId="0" text="Order more">
      <formula>NOT(ISERROR(SEARCH("Order more",G2)))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