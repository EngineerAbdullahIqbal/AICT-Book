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5" customWidth="1" min="4" max="4"/>
    <col width="16" customWidth="1" min="5" max="5"/>
    <col width="18" customWidth="1" min="6" max="6"/>
    <col width="15" customWidth="1" min="7" max="7"/>
  </cols>
  <sheetData>
    <row r="1">
      <c r="A1" s="1" t="inlineStr">
        <is>
          <t>Item</t>
        </is>
      </c>
      <c r="B1" s="1" t="inlineStr">
        <is>
          <t>Price (Rs)</t>
        </is>
      </c>
      <c r="C1" s="1" t="inlineStr">
        <is>
          <t>Opening Stock</t>
        </is>
      </c>
      <c r="D1" s="1" t="inlineStr">
        <is>
          <t>Sold</t>
        </is>
      </c>
      <c r="E1" s="1" t="inlineStr">
        <is>
          <t>Closing Stock</t>
        </is>
      </c>
      <c r="F1" s="1" t="inlineStr">
        <is>
          <t>Sale Value (Rs)</t>
        </is>
      </c>
      <c r="G1" s="1" t="inlineStr">
        <is>
          <t>Status</t>
        </is>
      </c>
    </row>
    <row r="2">
      <c r="A2" t="inlineStr">
        <is>
          <t>Sugar (kg)</t>
        </is>
      </c>
      <c r="B2" t="n">
        <v>155</v>
      </c>
      <c r="C2" t="n">
        <v>60</v>
      </c>
      <c r="D2" t="n">
        <v>52</v>
      </c>
      <c r="E2">
        <f>C2-D2</f>
        <v/>
      </c>
      <c r="F2">
        <f>D2*B2</f>
        <v/>
      </c>
      <c r="G2">
        <f>IF(E2&lt;10,"Order more","OK")</f>
        <v/>
      </c>
    </row>
    <row r="3" hidden="1">
      <c r="A3" t="inlineStr">
        <is>
          <t>Cooking oil (litre)</t>
        </is>
      </c>
      <c r="B3" t="n">
        <v>545</v>
      </c>
      <c r="C3" t="n">
        <v>40</v>
      </c>
      <c r="D3" t="n">
        <v>26</v>
      </c>
      <c r="E3">
        <f>C3-D3</f>
        <v/>
      </c>
      <c r="F3">
        <f>D3*B3</f>
        <v/>
      </c>
      <c r="G3">
        <f>IF(E3&lt;10,"Order more","OK")</f>
        <v/>
      </c>
    </row>
    <row r="4">
      <c r="A4" t="inlineStr">
        <is>
          <t>Tea (pack)</t>
        </is>
      </c>
      <c r="B4" t="n">
        <v>480</v>
      </c>
      <c r="C4" t="n">
        <v>30</v>
      </c>
      <c r="D4" t="n">
        <v>24</v>
      </c>
      <c r="E4">
        <f>C4-D4</f>
        <v/>
      </c>
      <c r="F4">
        <f>D4*B4</f>
        <v/>
      </c>
      <c r="G4">
        <f>IF(E4&lt;10,"Order more","OK")</f>
        <v/>
      </c>
    </row>
    <row r="5" hidden="1">
      <c r="A5" t="inlineStr">
        <is>
          <t>Rice (kg)</t>
        </is>
      </c>
      <c r="B5" t="n">
        <v>340</v>
      </c>
      <c r="C5" t="n">
        <v>50</v>
      </c>
      <c r="D5" t="n">
        <v>35</v>
      </c>
      <c r="E5">
        <f>C5-D5</f>
        <v/>
      </c>
      <c r="F5">
        <f>D5*B5</f>
        <v/>
      </c>
      <c r="G5">
        <f>IF(E5&lt;10,"Order more","OK")</f>
        <v/>
      </c>
    </row>
    <row r="6">
      <c r="A6" t="inlineStr">
        <is>
          <t>Daal (kg)</t>
        </is>
      </c>
      <c r="B6" t="n">
        <v>285</v>
      </c>
      <c r="C6" t="n">
        <v>25</v>
      </c>
      <c r="D6" t="n">
        <v>18</v>
      </c>
      <c r="E6">
        <f>C6-D6</f>
        <v/>
      </c>
      <c r="F6">
        <f>D6*B6</f>
        <v/>
      </c>
      <c r="G6">
        <f>IF(E6&lt;10,"Order more","OK")</f>
        <v/>
      </c>
    </row>
    <row r="7" hidden="1">
      <c r="A7" t="inlineStr">
        <is>
          <t>Soap (bar)</t>
        </is>
      </c>
      <c r="B7" t="n">
        <v>95</v>
      </c>
      <c r="C7" t="n">
        <v>48</v>
      </c>
      <c r="D7" t="n">
        <v>30</v>
      </c>
      <c r="E7">
        <f>C7-D7</f>
        <v/>
      </c>
      <c r="F7">
        <f>D7*B7</f>
        <v/>
      </c>
      <c r="G7">
        <f>IF(E7&lt;10,"Order more","OK")</f>
        <v/>
      </c>
    </row>
    <row r="8">
      <c r="A8" t="inlineStr">
        <is>
          <t>Biscuits (pack)</t>
        </is>
      </c>
      <c r="B8" t="n">
        <v>60</v>
      </c>
      <c r="C8" t="n">
        <v>80</v>
      </c>
      <c r="D8" t="n">
        <v>72</v>
      </c>
      <c r="E8">
        <f>C8-D8</f>
        <v/>
      </c>
      <c r="F8">
        <f>D8*B8</f>
        <v/>
      </c>
      <c r="G8">
        <f>IF(E8&lt;10,"Order more","OK")</f>
        <v/>
      </c>
    </row>
    <row r="9" hidden="1">
      <c r="A9" t="inlineStr">
        <is>
          <t>Matchbox</t>
        </is>
      </c>
      <c r="B9" t="n">
        <v>10</v>
      </c>
      <c r="C9" t="n">
        <v>100</v>
      </c>
      <c r="D9" t="n">
        <v>64</v>
      </c>
      <c r="E9">
        <f>C9-D9</f>
        <v/>
      </c>
      <c r="F9">
        <f>D9*B9</f>
        <v/>
      </c>
      <c r="G9">
        <f>IF(E9&lt;10,"Order more","OK")</f>
        <v/>
      </c>
    </row>
    <row r="10"/>
    <row r="11">
      <c r="A11" s="1" t="inlineStr">
        <is>
          <t>Total</t>
        </is>
      </c>
      <c r="C11">
        <f>SUM(C2:C9)</f>
        <v/>
      </c>
      <c r="D11">
        <f>SUM(D2:D9)</f>
        <v/>
      </c>
      <c r="E11">
        <f>SUM(E2:E9)</f>
        <v/>
      </c>
      <c r="F11">
        <f>SUM(F2:F9)</f>
        <v/>
      </c>
    </row>
  </sheetData>
  <autoFilter ref="A1:G9">
    <filterColumn colId="6" hiddenButton="0" showButton="1">
      <filters blank="0">
        <filter val="Order more"/>
      </filters>
    </filterColumn>
  </autoFilter>
  <conditionalFormatting sqref="G2:G9">
    <cfRule type="containsText" priority="1" operator="containsText" dxfId="0" text="Order more">
      <formula>NOT(ISERROR(SEARCH("Order more",G2)))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