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'Sheet1'!$A$3:$H$11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2" customWidth="1" min="4" max="4"/>
    <col width="22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Due date</t>
        </is>
      </c>
      <c r="B1" s="2" t="n">
        <v>46361</v>
      </c>
    </row>
    <row r="2"/>
    <row r="3">
      <c r="A3" s="1" t="inlineStr">
        <is>
          <t>Student</t>
        </is>
      </c>
      <c r="B3" s="1" t="inlineStr">
        <is>
          <t>Group</t>
        </is>
      </c>
      <c r="C3" s="1" t="inlineStr">
        <is>
          <t>Fee (Rs)</t>
        </is>
      </c>
      <c r="D3" s="1" t="inlineStr">
        <is>
          <t>Paid (Rs)</t>
        </is>
      </c>
      <c r="E3" s="1" t="inlineStr">
        <is>
          <t>Paid On</t>
        </is>
      </c>
      <c r="F3" s="1" t="inlineStr">
        <is>
          <t>Balance (Rs)</t>
        </is>
      </c>
      <c r="G3" s="1" t="inlineStr">
        <is>
          <t>Status</t>
        </is>
      </c>
      <c r="H3" s="1" t="inlineStr">
        <is>
          <t>Days Late</t>
        </is>
      </c>
    </row>
    <row r="4" hidden="1">
      <c r="A4" t="inlineStr">
        <is>
          <t>Rizwan Ali</t>
        </is>
      </c>
      <c r="B4" t="inlineStr">
        <is>
          <t>Morning</t>
        </is>
      </c>
      <c r="C4" t="n">
        <v>4000</v>
      </c>
      <c r="D4" t="n">
        <v>4000</v>
      </c>
      <c r="E4" s="2" t="n">
        <v>46359</v>
      </c>
      <c r="F4">
        <f>C4-D4</f>
        <v/>
      </c>
      <c r="G4">
        <f>IF(F4&gt;0,"Unpaid","Paid")</f>
        <v/>
      </c>
      <c r="H4">
        <f>IF(E4&gt;$B$1,E4-$B$1,0)</f>
        <v/>
      </c>
    </row>
    <row r="5">
      <c r="A5" t="inlineStr">
        <is>
          <t>Saima Noreen</t>
        </is>
      </c>
      <c r="B5" t="inlineStr">
        <is>
          <t>Evening</t>
        </is>
      </c>
      <c r="C5" t="n">
        <v>3500</v>
      </c>
      <c r="D5" t="n">
        <v>2000</v>
      </c>
      <c r="E5" s="2" t="n">
        <v>46363</v>
      </c>
      <c r="F5">
        <f>C5-D5</f>
        <v/>
      </c>
      <c r="G5">
        <f>IF(F5&gt;0,"Unpaid","Paid")</f>
        <v/>
      </c>
      <c r="H5">
        <f>IF(E5&gt;$B$1,E5-$B$1,0)</f>
        <v/>
      </c>
    </row>
    <row r="6">
      <c r="A6" t="inlineStr">
        <is>
          <t>Jawad Khan</t>
        </is>
      </c>
      <c r="B6" t="inlineStr">
        <is>
          <t>Morning</t>
        </is>
      </c>
      <c r="C6" t="n">
        <v>4000</v>
      </c>
      <c r="D6" t="n">
        <v>2500</v>
      </c>
      <c r="E6" s="2" t="n">
        <v>46365</v>
      </c>
      <c r="F6">
        <f>C6-D6</f>
        <v/>
      </c>
      <c r="G6">
        <f>IF(F6&gt;0,"Unpaid","Paid")</f>
        <v/>
      </c>
      <c r="H6">
        <f>IF(E6&gt;$B$1,E6-$B$1,0)</f>
        <v/>
      </c>
    </row>
    <row r="7" hidden="1">
      <c r="A7" t="inlineStr">
        <is>
          <t>Ayesha Rehman</t>
        </is>
      </c>
      <c r="B7" t="inlineStr">
        <is>
          <t>Evening</t>
        </is>
      </c>
      <c r="C7" t="n">
        <v>3500</v>
      </c>
      <c r="D7" t="n">
        <v>3500</v>
      </c>
      <c r="E7" s="2" t="n">
        <v>46361</v>
      </c>
      <c r="F7">
        <f>C7-D7</f>
        <v/>
      </c>
      <c r="G7">
        <f>IF(F7&gt;0,"Unpaid","Paid")</f>
        <v/>
      </c>
      <c r="H7">
        <f>IF(E7&gt;$B$1,E7-$B$1,0)</f>
        <v/>
      </c>
    </row>
    <row r="8" hidden="1">
      <c r="A8" t="inlineStr">
        <is>
          <t>Tahir Mehmood</t>
        </is>
      </c>
      <c r="B8" t="inlineStr">
        <is>
          <t>Morning</t>
        </is>
      </c>
      <c r="C8" t="n">
        <v>4000</v>
      </c>
      <c r="D8" t="n">
        <v>4000</v>
      </c>
      <c r="E8" s="2" t="n">
        <v>46368</v>
      </c>
      <c r="F8">
        <f>C8-D8</f>
        <v/>
      </c>
      <c r="G8">
        <f>IF(F8&gt;0,"Unpaid","Paid")</f>
        <v/>
      </c>
      <c r="H8">
        <f>IF(E8&gt;$B$1,E8-$B$1,0)</f>
        <v/>
      </c>
    </row>
    <row r="9">
      <c r="A9" t="inlineStr">
        <is>
          <t>Nimra Saleem</t>
        </is>
      </c>
      <c r="B9" t="inlineStr">
        <is>
          <t>Evening</t>
        </is>
      </c>
      <c r="C9" t="n">
        <v>3500</v>
      </c>
      <c r="D9" t="n">
        <v>1000</v>
      </c>
      <c r="E9" s="2" t="n">
        <v>46371</v>
      </c>
      <c r="F9">
        <f>C9-D9</f>
        <v/>
      </c>
      <c r="G9">
        <f>IF(F9&gt;0,"Unpaid","Paid")</f>
        <v/>
      </c>
      <c r="H9">
        <f>IF(E9&gt;$B$1,E9-$B$1,0)</f>
        <v/>
      </c>
    </row>
    <row r="10" hidden="1">
      <c r="A10" t="inlineStr">
        <is>
          <t>Faizan Ahmed</t>
        </is>
      </c>
      <c r="B10" t="inlineStr">
        <is>
          <t>Morning</t>
        </is>
      </c>
      <c r="C10" t="n">
        <v>4000</v>
      </c>
      <c r="D10" t="n">
        <v>4000</v>
      </c>
      <c r="E10" s="2" t="n">
        <v>46364</v>
      </c>
      <c r="F10">
        <f>C10-D10</f>
        <v/>
      </c>
      <c r="G10">
        <f>IF(F10&gt;0,"Unpaid","Paid")</f>
        <v/>
      </c>
      <c r="H10">
        <f>IF(E10&gt;$B$1,E10-$B$1,0)</f>
        <v/>
      </c>
    </row>
    <row r="11" hidden="1">
      <c r="A11" t="inlineStr">
        <is>
          <t>Komal Aziz</t>
        </is>
      </c>
      <c r="B11" t="inlineStr">
        <is>
          <t>Evening</t>
        </is>
      </c>
      <c r="C11" t="n">
        <v>3500</v>
      </c>
      <c r="D11" t="n">
        <v>3500</v>
      </c>
      <c r="E11" s="2" t="n">
        <v>46360</v>
      </c>
      <c r="F11">
        <f>C11-D11</f>
        <v/>
      </c>
      <c r="G11">
        <f>IF(F11&gt;0,"Unpaid","Paid")</f>
        <v/>
      </c>
      <c r="H11">
        <f>IF(E11&gt;$B$1,E11-$B$1,0)</f>
        <v/>
      </c>
    </row>
    <row r="12"/>
    <row r="13">
      <c r="A13" s="1" t="inlineStr">
        <is>
          <t>Unpaid students</t>
        </is>
      </c>
      <c r="B13">
        <f>COUNTIF(G4:G11,"Unpaid")</f>
        <v/>
      </c>
    </row>
    <row r="14">
      <c r="A14" s="1" t="inlineStr">
        <is>
          <t>Unpaid Morning (Rs)</t>
        </is>
      </c>
      <c r="B14">
        <f>SUMIF(B4:B11,"Morning",F4:F11)</f>
        <v/>
      </c>
    </row>
    <row r="15">
      <c r="A15" s="1" t="inlineStr">
        <is>
          <t>Unpaid Evening (Rs)</t>
        </is>
      </c>
      <c r="B15">
        <f>SUMIF(B4:B11,"Evening",F4:F11)</f>
        <v/>
      </c>
    </row>
    <row r="16">
      <c r="A16" s="1" t="inlineStr">
        <is>
          <t>Total unpaid (Rs)</t>
        </is>
      </c>
      <c r="B16">
        <f>SUM(F4:F11)</f>
        <v/>
      </c>
    </row>
  </sheetData>
  <autoFilter ref="A3:H11">
    <filterColumn colId="6" hiddenButton="0" showButton="1">
      <filters blank="0">
        <filter val="Unpaid"/>
      </filters>
    </filterColumn>
  </autoFilter>
  <conditionalFormatting sqref="G4:G11">
    <cfRule type="containsText" priority="1" operator="containsText" dxfId="0" text="Unpaid">
      <formula>NOT(ISERROR(SEARCH("Unpaid",G4)))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