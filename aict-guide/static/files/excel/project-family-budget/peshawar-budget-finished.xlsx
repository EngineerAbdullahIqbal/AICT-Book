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Planned and Actual Spending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'Sheet1'!B6</f>
            </strRef>
          </tx>
          <spPr>
            <a:ln xmlns:a="http://schemas.openxmlformats.org/drawingml/2006/main">
              <a:prstDash val="solid"/>
            </a:ln>
          </spPr>
          <cat>
            <strRef>
              <f>'Sheet1'!$A$7:$A$14</f>
            </strRef>
          </cat>
          <val>
            <numRef>
              <f>'Sheet1'!$B$7:$B$14</f>
            </numRef>
          </val>
        </ser>
        <ser>
          <idx val="1"/>
          <order val="1"/>
          <tx>
            <strRef>
              <f>'Sheet1'!C6</f>
            </strRef>
          </tx>
          <spPr>
            <a:ln xmlns:a="http://schemas.openxmlformats.org/drawingml/2006/main">
              <a:prstDash val="solid"/>
            </a:ln>
          </spPr>
          <cat>
            <strRef>
              <f>'Sheet1'!$A$7:$A$14</f>
            </strRef>
          </cat>
          <val>
            <numRef>
              <f>'Sheet1'!$C$7:$C$14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8" customWidth="1" min="4" max="4"/>
    <col width="22" customWidth="1" min="5" max="5"/>
  </cols>
  <sheetData>
    <row r="1">
      <c r="A1" s="1" t="inlineStr">
        <is>
          <t>Income</t>
        </is>
      </c>
      <c r="B1" s="1" t="inlineStr">
        <is>
          <t>Amount (Rs)</t>
        </is>
      </c>
    </row>
    <row r="2">
      <c r="A2" t="inlineStr">
        <is>
          <t>Shop income</t>
        </is>
      </c>
      <c r="B2" s="2" t="n">
        <v>62000</v>
      </c>
    </row>
    <row r="3">
      <c r="A3" t="inlineStr">
        <is>
          <t>Home tuition</t>
        </is>
      </c>
      <c r="B3" s="2" t="n">
        <v>15000</v>
      </c>
    </row>
    <row r="4">
      <c r="A4" s="1" t="inlineStr">
        <is>
          <t>Total income</t>
        </is>
      </c>
      <c r="B4" s="2">
        <f>SUM(B2:B3)</f>
        <v/>
      </c>
    </row>
    <row r="5"/>
    <row r="6">
      <c r="A6" s="1" t="inlineStr">
        <is>
          <t>Expense</t>
        </is>
      </c>
      <c r="B6" s="1" t="inlineStr">
        <is>
          <t>Planned (Rs)</t>
        </is>
      </c>
      <c r="C6" s="1" t="inlineStr">
        <is>
          <t>Actual (Rs)</t>
        </is>
      </c>
      <c r="D6" s="1" t="inlineStr">
        <is>
          <t>Difference (Rs)</t>
        </is>
      </c>
      <c r="E6" s="1" t="inlineStr">
        <is>
          <t>Share of Income (%)</t>
        </is>
      </c>
    </row>
    <row r="7">
      <c r="A7" t="inlineStr">
        <is>
          <t>House rent</t>
        </is>
      </c>
      <c r="B7" s="2" t="n">
        <v>18000</v>
      </c>
      <c r="C7" s="2" t="n">
        <v>18000</v>
      </c>
      <c r="D7" s="2">
        <f>C7-B7</f>
        <v/>
      </c>
      <c r="E7">
        <f>ROUND(C7/$B$4*100,1)</f>
        <v/>
      </c>
    </row>
    <row r="8">
      <c r="A8" t="inlineStr">
        <is>
          <t>Groceries</t>
        </is>
      </c>
      <c r="B8" s="2" t="n">
        <v>19000</v>
      </c>
      <c r="C8" s="2" t="n">
        <v>18400</v>
      </c>
      <c r="D8" s="2">
        <f>C8-B8</f>
        <v/>
      </c>
      <c r="E8">
        <f>ROUND(C8/$B$4*100,1)</f>
        <v/>
      </c>
    </row>
    <row r="9">
      <c r="A9" t="inlineStr">
        <is>
          <t>Electricity</t>
        </is>
      </c>
      <c r="B9" s="2" t="n">
        <v>6500</v>
      </c>
      <c r="C9" s="2" t="n">
        <v>7860</v>
      </c>
      <c r="D9" s="2">
        <f>C9-B9</f>
        <v/>
      </c>
      <c r="E9">
        <f>ROUND(C9/$B$4*100,1)</f>
        <v/>
      </c>
    </row>
    <row r="10">
      <c r="A10" t="inlineStr">
        <is>
          <t>Gas</t>
        </is>
      </c>
      <c r="B10" s="2" t="n">
        <v>2800</v>
      </c>
      <c r="C10" s="2" t="n">
        <v>3150</v>
      </c>
      <c r="D10" s="2">
        <f>C10-B10</f>
        <v/>
      </c>
      <c r="E10">
        <f>ROUND(C10/$B$4*100,1)</f>
        <v/>
      </c>
    </row>
    <row r="11">
      <c r="A11" t="inlineStr">
        <is>
          <t>School fees</t>
        </is>
      </c>
      <c r="B11" s="2" t="n">
        <v>7000</v>
      </c>
      <c r="C11" s="2" t="n">
        <v>7000</v>
      </c>
      <c r="D11" s="2">
        <f>C11-B11</f>
        <v/>
      </c>
      <c r="E11">
        <f>ROUND(C11/$B$4*100,1)</f>
        <v/>
      </c>
    </row>
    <row r="12">
      <c r="A12" t="inlineStr">
        <is>
          <t>Transport</t>
        </is>
      </c>
      <c r="B12" s="2" t="n">
        <v>4500</v>
      </c>
      <c r="C12" s="2" t="n">
        <v>4900</v>
      </c>
      <c r="D12" s="2">
        <f>C12-B12</f>
        <v/>
      </c>
      <c r="E12">
        <f>ROUND(C12/$B$4*100,1)</f>
        <v/>
      </c>
    </row>
    <row r="13">
      <c r="A13" t="inlineStr">
        <is>
          <t>Mobile</t>
        </is>
      </c>
      <c r="B13" s="2" t="n">
        <v>1200</v>
      </c>
      <c r="C13" s="2" t="n">
        <v>1290</v>
      </c>
      <c r="D13" s="2">
        <f>C13-B13</f>
        <v/>
      </c>
      <c r="E13">
        <f>ROUND(C13/$B$4*100,1)</f>
        <v/>
      </c>
    </row>
    <row r="14">
      <c r="A14" t="inlineStr">
        <is>
          <t>Savings</t>
        </is>
      </c>
      <c r="B14" s="2" t="n">
        <v>8000</v>
      </c>
      <c r="C14" s="2" t="n">
        <v>8000</v>
      </c>
      <c r="D14" s="2">
        <f>C14-B14</f>
        <v/>
      </c>
      <c r="E14">
        <f>ROUND(C14/$B$4*100,1)</f>
        <v/>
      </c>
    </row>
    <row r="15">
      <c r="A15" s="1" t="inlineStr">
        <is>
          <t>Total</t>
        </is>
      </c>
      <c r="B15" s="2">
        <f>SUM(B7:B14)</f>
        <v/>
      </c>
      <c r="C15" s="2">
        <f>SUM(C7:C14)</f>
        <v/>
      </c>
      <c r="D15" s="2">
        <f>C15-B15</f>
        <v/>
      </c>
      <c r="E15">
        <f>ROUND(C15/$B$4*100,1)</f>
        <v/>
      </c>
    </row>
    <row r="16"/>
    <row r="17">
      <c r="A17" s="1" t="inlineStr">
        <is>
          <t>Money left (Rs)</t>
        </is>
      </c>
      <c r="B17" s="3">
        <f>B4-C15</f>
        <v/>
      </c>
    </row>
  </sheetData>
  <conditionalFormatting sqref="D7:D15">
    <cfRule type="cellIs" priority="1" operator="greater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2026-10-17T08:20:45Z</dcterms:created>
  <dcterms:modified xmlns:dcterms="http://purl.org/dc/terms/" xmlns:xsi="http://www.w3.org/2001/XMLSchema-instance" xsi:type="dcterms:W3CDTF">2026-10-17T08:20:45Z</dcterms:modified>
</cp:coreProperties>
</file>