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'Sheet1'!H1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'Sheet1'!$B$2:$B$7</f>
            </strRef>
          </cat>
          <val>
            <numRef>
              <f>'Sheet1'!$H$2:$H$7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Result</t>
        </is>
      </c>
      <c r="L1" s="1" t="inlineStr">
        <is>
          <t>Position</t>
        </is>
      </c>
    </row>
    <row r="2">
      <c r="A2" t="n">
        <v>201</v>
      </c>
      <c r="B2" t="inlineStr">
        <is>
          <t>Hamza Iqbal</t>
        </is>
      </c>
      <c r="C2" t="n">
        <v>42</v>
      </c>
      <c r="D2" t="n">
        <v>38</v>
      </c>
      <c r="E2" t="n">
        <v>45</v>
      </c>
      <c r="F2" t="n">
        <v>40</v>
      </c>
      <c r="G2" t="n">
        <v>44</v>
      </c>
      <c r="H2">
        <f>SUM(C2:G2)</f>
        <v/>
      </c>
      <c r="I2">
        <f>H2/250*100</f>
        <v/>
      </c>
      <c r="J2">
        <f>_xlfn.IFS(I2&gt;=80,"A",I2&gt;=70,"B",I2&gt;=60,"C",I2&gt;=40,"D",TRUE,"F")</f>
        <v/>
      </c>
      <c r="K2">
        <f>IF(AND(C2&gt;=20,D2&gt;=20,E2&gt;=20,F2&gt;=20,G2&gt;=20),"Pass","Fail")</f>
        <v/>
      </c>
      <c r="L2">
        <f>_xlfn.RANK.EQ(H2,$H$2:$H$7)</f>
        <v/>
      </c>
    </row>
    <row r="3">
      <c r="A3" t="n">
        <v>202</v>
      </c>
      <c r="B3" t="inlineStr">
        <is>
          <t>Areeba Khan</t>
        </is>
      </c>
      <c r="C3" t="n">
        <v>35</v>
      </c>
      <c r="D3" t="n">
        <v>40</v>
      </c>
      <c r="E3" t="n">
        <v>30</v>
      </c>
      <c r="F3" t="n">
        <v>38</v>
      </c>
      <c r="G3" t="n">
        <v>37</v>
      </c>
      <c r="H3">
        <f>SUM(C3:G3)</f>
        <v/>
      </c>
      <c r="I3">
        <f>H3/250*100</f>
        <v/>
      </c>
      <c r="J3">
        <f>_xlfn.IFS(I3&gt;=80,"A",I3&gt;=70,"B",I3&gt;=60,"C",I3&gt;=40,"D",TRUE,"F")</f>
        <v/>
      </c>
      <c r="K3">
        <f>IF(AND(C3&gt;=20,D3&gt;=20,E3&gt;=20,F3&gt;=20,G3&gt;=20),"Pass","Fail")</f>
        <v/>
      </c>
      <c r="L3">
        <f>_xlfn.RANK.EQ(H3,$H$2:$H$7)</f>
        <v/>
      </c>
    </row>
    <row r="4">
      <c r="A4" t="n">
        <v>203</v>
      </c>
      <c r="B4" t="inlineStr">
        <is>
          <t>Fahad Mirza</t>
        </is>
      </c>
      <c r="C4" t="n">
        <v>25</v>
      </c>
      <c r="D4" t="n">
        <v>30</v>
      </c>
      <c r="E4" t="n">
        <v>18</v>
      </c>
      <c r="F4" t="n">
        <v>28</v>
      </c>
      <c r="G4" t="n">
        <v>32</v>
      </c>
      <c r="H4">
        <f>SUM(C4:G4)</f>
        <v/>
      </c>
      <c r="I4">
        <f>H4/250*100</f>
        <v/>
      </c>
      <c r="J4">
        <f>_xlfn.IFS(I4&gt;=80,"A",I4&gt;=70,"B",I4&gt;=60,"C",I4&gt;=40,"D",TRUE,"F")</f>
        <v/>
      </c>
      <c r="K4">
        <f>IF(AND(C4&gt;=20,D4&gt;=20,E4&gt;=20,F4&gt;=20,G4&gt;=20),"Pass","Fail")</f>
        <v/>
      </c>
      <c r="L4">
        <f>_xlfn.RANK.EQ(H4,$H$2:$H$7)</f>
        <v/>
      </c>
    </row>
    <row r="5">
      <c r="A5" t="n">
        <v>204</v>
      </c>
      <c r="B5" t="inlineStr">
        <is>
          <t>Noor Fatima</t>
        </is>
      </c>
      <c r="C5" t="n">
        <v>40</v>
      </c>
      <c r="D5" t="n">
        <v>44</v>
      </c>
      <c r="E5" t="n">
        <v>39</v>
      </c>
      <c r="F5" t="n">
        <v>41</v>
      </c>
      <c r="G5" t="n">
        <v>45</v>
      </c>
      <c r="H5">
        <f>SUM(C5:G5)</f>
        <v/>
      </c>
      <c r="I5">
        <f>H5/250*100</f>
        <v/>
      </c>
      <c r="J5">
        <f>_xlfn.IFS(I5&gt;=80,"A",I5&gt;=70,"B",I5&gt;=60,"C",I5&gt;=40,"D",TRUE,"F")</f>
        <v/>
      </c>
      <c r="K5">
        <f>IF(AND(C5&gt;=20,D5&gt;=20,E5&gt;=20,F5&gt;=20,G5&gt;=20),"Pass","Fail")</f>
        <v/>
      </c>
      <c r="L5">
        <f>_xlfn.RANK.EQ(H5,$H$2:$H$7)</f>
        <v/>
      </c>
    </row>
    <row r="6">
      <c r="A6" t="n">
        <v>205</v>
      </c>
      <c r="B6" t="inlineStr">
        <is>
          <t>Saad Anwar</t>
        </is>
      </c>
      <c r="C6" t="n">
        <v>30</v>
      </c>
      <c r="D6" t="n">
        <v>33</v>
      </c>
      <c r="E6" t="n">
        <v>35</v>
      </c>
      <c r="F6" t="n">
        <v>29</v>
      </c>
      <c r="G6" t="n">
        <v>31</v>
      </c>
      <c r="H6">
        <f>SUM(C6:G6)</f>
        <v/>
      </c>
      <c r="I6">
        <f>H6/250*100</f>
        <v/>
      </c>
      <c r="J6">
        <f>_xlfn.IFS(I6&gt;=80,"A",I6&gt;=70,"B",I6&gt;=60,"C",I6&gt;=40,"D",TRUE,"F")</f>
        <v/>
      </c>
      <c r="K6">
        <f>IF(AND(C6&gt;=20,D6&gt;=20,E6&gt;=20,F6&gt;=20,G6&gt;=20),"Pass","Fail")</f>
        <v/>
      </c>
      <c r="L6">
        <f>_xlfn.RANK.EQ(H6,$H$2:$H$7)</f>
        <v/>
      </c>
    </row>
    <row r="7">
      <c r="A7" t="n">
        <v>206</v>
      </c>
      <c r="B7" t="inlineStr">
        <is>
          <t>Laiba Aslam</t>
        </is>
      </c>
      <c r="C7" t="n">
        <v>20</v>
      </c>
      <c r="D7" t="n">
        <v>24</v>
      </c>
      <c r="E7" t="n">
        <v>22</v>
      </c>
      <c r="F7" t="n">
        <v>21</v>
      </c>
      <c r="G7" t="n">
        <v>26</v>
      </c>
      <c r="H7">
        <f>SUM(C7:G7)</f>
        <v/>
      </c>
      <c r="I7">
        <f>H7/250*100</f>
        <v/>
      </c>
      <c r="J7">
        <f>_xlfn.IFS(I7&gt;=80,"A",I7&gt;=70,"B",I7&gt;=60,"C",I7&gt;=40,"D",TRUE,"F")</f>
        <v/>
      </c>
      <c r="K7">
        <f>IF(AND(C7&gt;=20,D7&gt;=20,E7&gt;=20,F7&gt;=20,G7&gt;=20),"Pass","Fail")</f>
        <v/>
      </c>
      <c r="L7">
        <f>_xlfn.RANK.EQ(H7,$H$2:$H$7)</f>
        <v/>
      </c>
    </row>
    <row r="8"/>
    <row r="9">
      <c r="A9" s="1" t="inlineStr">
        <is>
          <t>Passed</t>
        </is>
      </c>
      <c r="B9">
        <f>COUNTIF(K2:K7,"Pass")</f>
        <v/>
      </c>
    </row>
    <row r="10">
      <c r="A10" s="1" t="inlineStr">
        <is>
          <t>Failed</t>
        </is>
      </c>
      <c r="B10">
        <f>COUNTIF(K2:K7,"Fail")</f>
        <v/>
      </c>
    </row>
    <row r="11"/>
    <row r="12">
      <c r="A12" s="1" t="inlineStr">
        <is>
          <t>Roll No</t>
        </is>
      </c>
      <c r="B12" t="n">
        <v>203</v>
      </c>
    </row>
    <row r="13">
      <c r="A13" s="1" t="inlineStr">
        <is>
          <t>Name</t>
        </is>
      </c>
      <c r="B13">
        <f>VLOOKUP(B12,A2:L7,2,FALSE)</f>
        <v/>
      </c>
    </row>
    <row r="14">
      <c r="A14" s="1" t="inlineStr">
        <is>
          <t>Total</t>
        </is>
      </c>
      <c r="B14">
        <f>VLOOKUP(B12,A2:L7,8,FALSE)</f>
        <v/>
      </c>
    </row>
    <row r="15">
      <c r="A15" s="1" t="inlineStr">
        <is>
          <t>Percentage</t>
        </is>
      </c>
      <c r="B15">
        <f>VLOOKUP(B12,A2:L7,9,FALSE)</f>
        <v/>
      </c>
    </row>
    <row r="16">
      <c r="A16" s="1" t="inlineStr">
        <is>
          <t>Grade</t>
        </is>
      </c>
      <c r="B16">
        <f>VLOOKUP(B12,A2:L7,10,FALSE)</f>
        <v/>
      </c>
    </row>
    <row r="17">
      <c r="A17" s="1" t="inlineStr">
        <is>
          <t>Result</t>
        </is>
      </c>
      <c r="B17">
        <f>VLOOKUP(B12,A2:L7,11,FALSE)</f>
        <v/>
      </c>
    </row>
    <row r="18">
      <c r="A18" s="1" t="inlineStr">
        <is>
          <t>Position</t>
        </is>
      </c>
      <c r="B18">
        <f>VLOOKUP(B12,A2:L7,12,FALSE)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