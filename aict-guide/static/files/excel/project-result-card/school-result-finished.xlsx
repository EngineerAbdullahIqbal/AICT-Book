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'Sheet1'!H1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'Sheet1'!$B$2:$B$9</f>
            </strRef>
          </cat>
          <val>
            <numRef>
              <f>'Sheet1'!$H$2:$H$9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8" customWidth="1" min="4" max="4"/>
    <col width="8" customWidth="1" min="5" max="5"/>
    <col width="10" customWidth="1" min="6" max="6"/>
    <col width="11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English</t>
        </is>
      </c>
      <c r="D1" s="1" t="inlineStr">
        <is>
          <t>Urdu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Computer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Result</t>
        </is>
      </c>
      <c r="L1" s="1" t="inlineStr">
        <is>
          <t>Position</t>
        </is>
      </c>
    </row>
    <row r="2">
      <c r="A2" t="n">
        <v>101</v>
      </c>
      <c r="B2" t="inlineStr">
        <is>
          <t>Ayesha Siddiqui</t>
        </is>
      </c>
      <c r="C2" t="n">
        <v>82</v>
      </c>
      <c r="D2" t="n">
        <v>78</v>
      </c>
      <c r="E2" t="n">
        <v>91</v>
      </c>
      <c r="F2" t="n">
        <v>85</v>
      </c>
      <c r="G2" t="n">
        <v>88</v>
      </c>
      <c r="H2">
        <f>SUM(C2:G2)</f>
        <v/>
      </c>
      <c r="I2">
        <f>H2/500*100</f>
        <v/>
      </c>
      <c r="J2">
        <f>_xlfn.IFS(I2&gt;=80,"A",I2&gt;=70,"B",I2&gt;=60,"C",I2&gt;=40,"D",TRUE,"F")</f>
        <v/>
      </c>
      <c r="K2">
        <f>IF(AND(C2&gt;=40,D2&gt;=40,E2&gt;=40,F2&gt;=40,G2&gt;=40),"Pass","Fail")</f>
        <v/>
      </c>
      <c r="L2">
        <f>_xlfn.RANK.EQ(H2,$H$2:$H$9)</f>
        <v/>
      </c>
    </row>
    <row r="3">
      <c r="A3" t="n">
        <v>102</v>
      </c>
      <c r="B3" t="inlineStr">
        <is>
          <t>Hassan Raza</t>
        </is>
      </c>
      <c r="C3" t="n">
        <v>65</v>
      </c>
      <c r="D3" t="n">
        <v>70</v>
      </c>
      <c r="E3" t="n">
        <v>58</v>
      </c>
      <c r="F3" t="n">
        <v>62</v>
      </c>
      <c r="G3" t="n">
        <v>75</v>
      </c>
      <c r="H3">
        <f>SUM(C3:G3)</f>
        <v/>
      </c>
      <c r="I3">
        <f>H3/500*100</f>
        <v/>
      </c>
      <c r="J3">
        <f>_xlfn.IFS(I3&gt;=80,"A",I3&gt;=70,"B",I3&gt;=60,"C",I3&gt;=40,"D",TRUE,"F")</f>
        <v/>
      </c>
      <c r="K3">
        <f>IF(AND(C3&gt;=40,D3&gt;=40,E3&gt;=40,F3&gt;=40,G3&gt;=40),"Pass","Fail")</f>
        <v/>
      </c>
      <c r="L3">
        <f>_xlfn.RANK.EQ(H3,$H$2:$H$9)</f>
        <v/>
      </c>
    </row>
    <row r="4">
      <c r="A4" t="n">
        <v>103</v>
      </c>
      <c r="B4" t="inlineStr">
        <is>
          <t>Mahnoor Fatima</t>
        </is>
      </c>
      <c r="C4" t="n">
        <v>74</v>
      </c>
      <c r="D4" t="n">
        <v>81</v>
      </c>
      <c r="E4" t="n">
        <v>69</v>
      </c>
      <c r="F4" t="n">
        <v>77</v>
      </c>
      <c r="G4" t="n">
        <v>80</v>
      </c>
      <c r="H4">
        <f>SUM(C4:G4)</f>
        <v/>
      </c>
      <c r="I4">
        <f>H4/500*100</f>
        <v/>
      </c>
      <c r="J4">
        <f>_xlfn.IFS(I4&gt;=80,"A",I4&gt;=70,"B",I4&gt;=60,"C",I4&gt;=40,"D",TRUE,"F")</f>
        <v/>
      </c>
      <c r="K4">
        <f>IF(AND(C4&gt;=40,D4&gt;=40,E4&gt;=40,F4&gt;=40,G4&gt;=40),"Pass","Fail")</f>
        <v/>
      </c>
      <c r="L4">
        <f>_xlfn.RANK.EQ(H4,$H$2:$H$9)</f>
        <v/>
      </c>
    </row>
    <row r="5">
      <c r="A5" t="n">
        <v>104</v>
      </c>
      <c r="B5" t="inlineStr">
        <is>
          <t>Ali Haider</t>
        </is>
      </c>
      <c r="C5" t="n">
        <v>55</v>
      </c>
      <c r="D5" t="n">
        <v>60</v>
      </c>
      <c r="E5" t="n">
        <v>35</v>
      </c>
      <c r="F5" t="n">
        <v>48</v>
      </c>
      <c r="G5" t="n">
        <v>66</v>
      </c>
      <c r="H5">
        <f>SUM(C5:G5)</f>
        <v/>
      </c>
      <c r="I5">
        <f>H5/500*100</f>
        <v/>
      </c>
      <c r="J5">
        <f>_xlfn.IFS(I5&gt;=80,"A",I5&gt;=70,"B",I5&gt;=60,"C",I5&gt;=40,"D",TRUE,"F")</f>
        <v/>
      </c>
      <c r="K5">
        <f>IF(AND(C5&gt;=40,D5&gt;=40,E5&gt;=40,F5&gt;=40,G5&gt;=40),"Pass","Fail")</f>
        <v/>
      </c>
      <c r="L5">
        <f>_xlfn.RANK.EQ(H5,$H$2:$H$9)</f>
        <v/>
      </c>
    </row>
    <row r="6">
      <c r="A6" t="n">
        <v>105</v>
      </c>
      <c r="B6" t="inlineStr">
        <is>
          <t>Iqra Javed</t>
        </is>
      </c>
      <c r="C6" t="n">
        <v>90</v>
      </c>
      <c r="D6" t="n">
        <v>85</v>
      </c>
      <c r="E6" t="n">
        <v>88</v>
      </c>
      <c r="F6" t="n">
        <v>92</v>
      </c>
      <c r="G6" t="n">
        <v>95</v>
      </c>
      <c r="H6">
        <f>SUM(C6:G6)</f>
        <v/>
      </c>
      <c r="I6">
        <f>H6/500*100</f>
        <v/>
      </c>
      <c r="J6">
        <f>_xlfn.IFS(I6&gt;=80,"A",I6&gt;=70,"B",I6&gt;=60,"C",I6&gt;=40,"D",TRUE,"F")</f>
        <v/>
      </c>
      <c r="K6">
        <f>IF(AND(C6&gt;=40,D6&gt;=40,E6&gt;=40,F6&gt;=40,G6&gt;=40),"Pass","Fail")</f>
        <v/>
      </c>
      <c r="L6">
        <f>_xlfn.RANK.EQ(H6,$H$2:$H$9)</f>
        <v/>
      </c>
    </row>
    <row r="7">
      <c r="A7" t="n">
        <v>106</v>
      </c>
      <c r="B7" t="inlineStr">
        <is>
          <t>Usman Ghani</t>
        </is>
      </c>
      <c r="C7" t="n">
        <v>45</v>
      </c>
      <c r="D7" t="n">
        <v>52</v>
      </c>
      <c r="E7" t="n">
        <v>41</v>
      </c>
      <c r="F7" t="n">
        <v>38</v>
      </c>
      <c r="G7" t="n">
        <v>50</v>
      </c>
      <c r="H7">
        <f>SUM(C7:G7)</f>
        <v/>
      </c>
      <c r="I7">
        <f>H7/500*100</f>
        <v/>
      </c>
      <c r="J7">
        <f>_xlfn.IFS(I7&gt;=80,"A",I7&gt;=70,"B",I7&gt;=60,"C",I7&gt;=40,"D",TRUE,"F")</f>
        <v/>
      </c>
      <c r="K7">
        <f>IF(AND(C7&gt;=40,D7&gt;=40,E7&gt;=40,F7&gt;=40,G7&gt;=40),"Pass","Fail")</f>
        <v/>
      </c>
      <c r="L7">
        <f>_xlfn.RANK.EQ(H7,$H$2:$H$9)</f>
        <v/>
      </c>
    </row>
    <row r="8">
      <c r="A8" t="n">
        <v>107</v>
      </c>
      <c r="B8" t="inlineStr">
        <is>
          <t>Sidra Malik</t>
        </is>
      </c>
      <c r="C8" t="n">
        <v>68</v>
      </c>
      <c r="D8" t="n">
        <v>72</v>
      </c>
      <c r="E8" t="n">
        <v>75</v>
      </c>
      <c r="F8" t="n">
        <v>70</v>
      </c>
      <c r="G8" t="n">
        <v>79</v>
      </c>
      <c r="H8">
        <f>SUM(C8:G8)</f>
        <v/>
      </c>
      <c r="I8">
        <f>H8/500*100</f>
        <v/>
      </c>
      <c r="J8">
        <f>_xlfn.IFS(I8&gt;=80,"A",I8&gt;=70,"B",I8&gt;=60,"C",I8&gt;=40,"D",TRUE,"F")</f>
        <v/>
      </c>
      <c r="K8">
        <f>IF(AND(C8&gt;=40,D8&gt;=40,E8&gt;=40,F8&gt;=40,G8&gt;=40),"Pass","Fail")</f>
        <v/>
      </c>
      <c r="L8">
        <f>_xlfn.RANK.EQ(H8,$H$2:$H$9)</f>
        <v/>
      </c>
    </row>
    <row r="9">
      <c r="A9" t="n">
        <v>108</v>
      </c>
      <c r="B9" t="inlineStr">
        <is>
          <t>Zeeshan Akhtar</t>
        </is>
      </c>
      <c r="C9" t="n">
        <v>30</v>
      </c>
      <c r="D9" t="n">
        <v>42</v>
      </c>
      <c r="E9" t="n">
        <v>28</v>
      </c>
      <c r="F9" t="n">
        <v>35</v>
      </c>
      <c r="G9" t="n">
        <v>40</v>
      </c>
      <c r="H9">
        <f>SUM(C9:G9)</f>
        <v/>
      </c>
      <c r="I9">
        <f>H9/500*100</f>
        <v/>
      </c>
      <c r="J9">
        <f>_xlfn.IFS(I9&gt;=80,"A",I9&gt;=70,"B",I9&gt;=60,"C",I9&gt;=40,"D",TRUE,"F")</f>
        <v/>
      </c>
      <c r="K9">
        <f>IF(AND(C9&gt;=40,D9&gt;=40,E9&gt;=40,F9&gt;=40,G9&gt;=40),"Pass","Fail")</f>
        <v/>
      </c>
      <c r="L9">
        <f>_xlfn.RANK.EQ(H9,$H$2:$H$9)</f>
        <v/>
      </c>
    </row>
    <row r="10"/>
    <row r="11">
      <c r="A11" s="1" t="inlineStr">
        <is>
          <t>Passed</t>
        </is>
      </c>
      <c r="B11">
        <f>COUNTIF(K2:K9,"Pass")</f>
        <v/>
      </c>
    </row>
    <row r="12">
      <c r="A12" s="1" t="inlineStr">
        <is>
          <t>Failed</t>
        </is>
      </c>
      <c r="B12">
        <f>COUNTIF(K2:K9,"Fail")</f>
        <v/>
      </c>
    </row>
    <row r="13"/>
    <row r="14">
      <c r="A14" s="1" t="inlineStr">
        <is>
          <t>Roll No</t>
        </is>
      </c>
      <c r="B14" t="n">
        <v>107</v>
      </c>
    </row>
    <row r="15">
      <c r="A15" s="1" t="inlineStr">
        <is>
          <t>Name</t>
        </is>
      </c>
      <c r="B15">
        <f>VLOOKUP(B14,A2:L9,2,FALSE)</f>
        <v/>
      </c>
    </row>
    <row r="16">
      <c r="A16" s="1" t="inlineStr">
        <is>
          <t>Total</t>
        </is>
      </c>
      <c r="B16">
        <f>VLOOKUP(B14,A2:L9,8,FALSE)</f>
        <v/>
      </c>
    </row>
    <row r="17">
      <c r="A17" s="1" t="inlineStr">
        <is>
          <t>Percentage</t>
        </is>
      </c>
      <c r="B17">
        <f>VLOOKUP(B14,A2:L9,9,FALSE)</f>
        <v/>
      </c>
    </row>
    <row r="18">
      <c r="A18" s="1" t="inlineStr">
        <is>
          <t>Grade</t>
        </is>
      </c>
      <c r="B18">
        <f>VLOOKUP(B14,A2:L9,10,FALSE)</f>
        <v/>
      </c>
    </row>
    <row r="19">
      <c r="A19" s="1" t="inlineStr">
        <is>
          <t>Result</t>
        </is>
      </c>
      <c r="B19">
        <f>VLOOKUP(B14,A2:L9,11,FALSE)</f>
        <v/>
      </c>
    </row>
    <row r="20">
      <c r="A20" s="1" t="inlineStr">
        <is>
          <t>Position</t>
        </is>
      </c>
      <c r="B20">
        <f>VLOOKUP(B14,A2:L9,12,FALSE)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