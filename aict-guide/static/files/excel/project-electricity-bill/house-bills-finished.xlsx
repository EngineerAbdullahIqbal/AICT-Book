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4" customWidth="1" min="3" max="3"/>
    <col width="15" customWidth="1" min="4" max="4"/>
    <col width="17" customWidth="1" min="5" max="5"/>
    <col width="18" customWidth="1" min="6" max="6"/>
    <col width="19" customWidth="1" min="7" max="7"/>
    <col width="18" customWidth="1" min="8" max="8"/>
  </cols>
  <sheetData>
    <row r="1">
      <c r="A1" s="1" t="inlineStr">
        <is>
          <t>PRACTICE RATES ONLY: these rates are made up for learning. They are NOT the real electricity tariff.</t>
        </is>
      </c>
    </row>
    <row r="2"/>
    <row r="3">
      <c r="A3" s="2" t="inlineStr">
        <is>
          <t>Low rate (Rs per unit)</t>
        </is>
      </c>
      <c r="B3" t="n">
        <v>18.4</v>
      </c>
    </row>
    <row r="4">
      <c r="A4" s="2" t="inlineStr">
        <is>
          <t>High rate (Rs per unit)</t>
        </is>
      </c>
      <c r="B4" t="n">
        <v>30.6</v>
      </c>
    </row>
    <row r="5">
      <c r="A5" s="2" t="inlineStr">
        <is>
          <t>Low-rate limit (units)</t>
        </is>
      </c>
      <c r="B5" t="n">
        <v>100</v>
      </c>
    </row>
    <row r="6">
      <c r="A6" s="2" t="inlineStr">
        <is>
          <t>Fixed charge (Rs)</t>
        </is>
      </c>
      <c r="B6" t="n">
        <v>150</v>
      </c>
    </row>
    <row r="7"/>
    <row r="8">
      <c r="A8" s="2" t="inlineStr">
        <is>
          <t>Month</t>
        </is>
      </c>
      <c r="B8" s="2" t="inlineStr">
        <is>
          <t>Old Reading</t>
        </is>
      </c>
      <c r="C8" s="2" t="inlineStr">
        <is>
          <t>New Reading</t>
        </is>
      </c>
      <c r="D8" s="2" t="inlineStr">
        <is>
          <t>Units Used</t>
        </is>
      </c>
      <c r="E8" s="2" t="inlineStr">
        <is>
          <t>Low-Rate Units</t>
        </is>
      </c>
      <c r="F8" s="2" t="inlineStr">
        <is>
          <t>High-Rate Units</t>
        </is>
      </c>
      <c r="G8" s="2" t="inlineStr">
        <is>
          <t>Energy Cost (Rs)</t>
        </is>
      </c>
      <c r="H8" s="2" t="inlineStr">
        <is>
          <t>Total Bill (Rs)</t>
        </is>
      </c>
    </row>
    <row r="9">
      <c r="A9" t="inlineStr">
        <is>
          <t>July</t>
        </is>
      </c>
      <c r="B9" t="n">
        <v>8240</v>
      </c>
      <c r="C9" t="n">
        <v>8506</v>
      </c>
      <c r="D9">
        <f>C9-B9</f>
        <v/>
      </c>
      <c r="E9">
        <f>IF(D9&gt;$B$5,$B$5,D9)</f>
        <v/>
      </c>
      <c r="F9">
        <f>D9-E9</f>
        <v/>
      </c>
      <c r="G9">
        <f>E9*$B$3+F9*$B$4</f>
        <v/>
      </c>
      <c r="H9">
        <f>ROUND(G9+$B$6,0)</f>
        <v/>
      </c>
    </row>
    <row r="10">
      <c r="A10" t="inlineStr">
        <is>
          <t>August</t>
        </is>
      </c>
      <c r="B10" t="n">
        <v>8506</v>
      </c>
      <c r="C10" t="n">
        <v>8738</v>
      </c>
      <c r="D10">
        <f>C10-B10</f>
        <v/>
      </c>
      <c r="E10">
        <f>IF(D10&gt;$B$5,$B$5,D10)</f>
        <v/>
      </c>
      <c r="F10">
        <f>D10-E10</f>
        <v/>
      </c>
      <c r="G10">
        <f>E10*$B$3+F10*$B$4</f>
        <v/>
      </c>
      <c r="H10">
        <f>ROUND(G10+$B$6,0)</f>
        <v/>
      </c>
    </row>
    <row r="11">
      <c r="A11" t="inlineStr">
        <is>
          <t>September</t>
        </is>
      </c>
      <c r="B11" t="n">
        <v>8738</v>
      </c>
      <c r="C11" t="n">
        <v>8917</v>
      </c>
      <c r="D11">
        <f>C11-B11</f>
        <v/>
      </c>
      <c r="E11">
        <f>IF(D11&gt;$B$5,$B$5,D11)</f>
        <v/>
      </c>
      <c r="F11">
        <f>D11-E11</f>
        <v/>
      </c>
      <c r="G11">
        <f>E11*$B$3+F11*$B$4</f>
        <v/>
      </c>
      <c r="H11">
        <f>ROUND(G11+$B$6,0)</f>
        <v/>
      </c>
    </row>
    <row r="12">
      <c r="A12" t="inlineStr">
        <is>
          <t>October</t>
        </is>
      </c>
      <c r="B12" t="n">
        <v>8917</v>
      </c>
      <c r="C12" t="n">
        <v>9011</v>
      </c>
      <c r="D12">
        <f>C12-B12</f>
        <v/>
      </c>
      <c r="E12">
        <f>IF(D12&gt;$B$5,$B$5,D12)</f>
        <v/>
      </c>
      <c r="F12">
        <f>D12-E12</f>
        <v/>
      </c>
      <c r="G12">
        <f>E12*$B$3+F12*$B$4</f>
        <v/>
      </c>
      <c r="H12">
        <f>ROUND(G12+$B$6,0)</f>
        <v/>
      </c>
    </row>
    <row r="13">
      <c r="A13" s="2" t="inlineStr">
        <is>
          <t>Total</t>
        </is>
      </c>
      <c r="D13">
        <f>SUM(D9:D12)</f>
        <v/>
      </c>
      <c r="E13">
        <f>SUM(E9:E12)</f>
        <v/>
      </c>
      <c r="F13">
        <f>SUM(F9:F12)</f>
        <v/>
      </c>
      <c r="G13">
        <f>SUM(G9:G12)</f>
        <v/>
      </c>
      <c r="H13">
        <f>SUM(H9:H12)</f>
        <v/>
      </c>
    </row>
    <row r="14"/>
    <row r="15">
      <c r="A15" s="2" t="inlineStr">
        <is>
          <t>July minus October (Rs)</t>
        </is>
      </c>
      <c r="B15">
        <f>H9-H12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