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5" customWidth="1" min="3" max="3"/>
    <col width="18" customWidth="1" min="4" max="4"/>
    <col width="15" customWidth="1" min="5" max="5"/>
    <col width="17" customWidth="1" min="6" max="6"/>
    <col width="17" customWidth="1" min="7" max="7"/>
    <col width="15" customWidth="1" min="8" max="8"/>
    <col width="15" customWidth="1" min="9" max="9"/>
  </cols>
  <sheetData>
    <row r="1">
      <c r="A1" s="1" t="inlineStr">
        <is>
          <t>House rent rate</t>
        </is>
      </c>
      <c r="B1" s="2" t="n">
        <v>0.3</v>
      </c>
    </row>
    <row r="2">
      <c r="A2" s="1" t="inlineStr">
        <is>
          <t>Medical rate</t>
        </is>
      </c>
      <c r="B2" s="2" t="n">
        <v>0.05</v>
      </c>
    </row>
    <row r="3">
      <c r="A3" s="1" t="inlineStr">
        <is>
          <t>Deduction rate (practice only)</t>
        </is>
      </c>
      <c r="B3" s="2" t="n">
        <v>0.02</v>
      </c>
    </row>
    <row r="4">
      <c r="A4" s="1" t="inlineStr">
        <is>
          <t>Full attendance bonus (Rs)</t>
        </is>
      </c>
      <c r="B4" t="n">
        <v>1500</v>
      </c>
    </row>
    <row r="5"/>
    <row r="6">
      <c r="A6" s="1" t="inlineStr">
        <is>
          <t>Name</t>
        </is>
      </c>
      <c r="B6" s="1" t="inlineStr">
        <is>
          <t>Basic Pay (Rs)</t>
        </is>
      </c>
      <c r="C6" s="1" t="inlineStr">
        <is>
          <t>Days Absent</t>
        </is>
      </c>
      <c r="D6" s="1" t="inlineStr">
        <is>
          <t>House Rent (Rs)</t>
        </is>
      </c>
      <c r="E6" s="1" t="inlineStr">
        <is>
          <t>Medical (Rs)</t>
        </is>
      </c>
      <c r="F6" s="1" t="inlineStr">
        <is>
          <t>Gross Pay (Rs)</t>
        </is>
      </c>
      <c r="G6" s="1" t="inlineStr">
        <is>
          <t>Deduction (Rs)</t>
        </is>
      </c>
      <c r="H6" s="1" t="inlineStr">
        <is>
          <t>Bonus (Rs)</t>
        </is>
      </c>
      <c r="I6" s="1" t="inlineStr">
        <is>
          <t>Net Pay (Rs)</t>
        </is>
      </c>
    </row>
    <row r="7">
      <c r="A7" t="inlineStr">
        <is>
          <t>Naveed Akram</t>
        </is>
      </c>
      <c r="B7" t="n">
        <v>25000</v>
      </c>
      <c r="C7" t="n">
        <v>0</v>
      </c>
      <c r="D7">
        <f>B7*$B$1</f>
        <v/>
      </c>
      <c r="E7">
        <f>B7*$B$2</f>
        <v/>
      </c>
      <c r="F7">
        <f>B7+D7+E7</f>
        <v/>
      </c>
      <c r="G7">
        <f>F7*$B$3</f>
        <v/>
      </c>
      <c r="H7">
        <f>IF(C7=0,$B$4,0)</f>
        <v/>
      </c>
      <c r="I7">
        <f>F7-G7+H7</f>
        <v/>
      </c>
    </row>
    <row r="8">
      <c r="A8" t="inlineStr">
        <is>
          <t>Shazia Parveen</t>
        </is>
      </c>
      <c r="B8" t="n">
        <v>20000</v>
      </c>
      <c r="C8" t="n">
        <v>1</v>
      </c>
      <c r="D8">
        <f>B8*$B$1</f>
        <v/>
      </c>
      <c r="E8">
        <f>B8*$B$2</f>
        <v/>
      </c>
      <c r="F8">
        <f>B8+D8+E8</f>
        <v/>
      </c>
      <c r="G8">
        <f>F8*$B$3</f>
        <v/>
      </c>
      <c r="H8">
        <f>IF(C8=0,$B$4,0)</f>
        <v/>
      </c>
      <c r="I8">
        <f>F8-G8+H8</f>
        <v/>
      </c>
    </row>
    <row r="9">
      <c r="A9" t="inlineStr">
        <is>
          <t>Arif Hussain</t>
        </is>
      </c>
      <c r="B9" t="n">
        <v>22000</v>
      </c>
      <c r="C9" t="n">
        <v>0</v>
      </c>
      <c r="D9">
        <f>B9*$B$1</f>
        <v/>
      </c>
      <c r="E9">
        <f>B9*$B$2</f>
        <v/>
      </c>
      <c r="F9">
        <f>B9+D9+E9</f>
        <v/>
      </c>
      <c r="G9">
        <f>F9*$B$3</f>
        <v/>
      </c>
      <c r="H9">
        <f>IF(C9=0,$B$4,0)</f>
        <v/>
      </c>
      <c r="I9">
        <f>F9-G9+H9</f>
        <v/>
      </c>
    </row>
    <row r="10">
      <c r="A10" t="inlineStr">
        <is>
          <t>Kiran Javed</t>
        </is>
      </c>
      <c r="B10" t="n">
        <v>18000</v>
      </c>
      <c r="C10" t="n">
        <v>2</v>
      </c>
      <c r="D10">
        <f>B10*$B$1</f>
        <v/>
      </c>
      <c r="E10">
        <f>B10*$B$2</f>
        <v/>
      </c>
      <c r="F10">
        <f>B10+D10+E10</f>
        <v/>
      </c>
      <c r="G10">
        <f>F10*$B$3</f>
        <v/>
      </c>
      <c r="H10">
        <f>IF(C10=0,$B$4,0)</f>
        <v/>
      </c>
      <c r="I10">
        <f>F10-G10+H10</f>
        <v/>
      </c>
    </row>
    <row r="11">
      <c r="A11" t="inlineStr">
        <is>
          <t>Sajid Mehmood</t>
        </is>
      </c>
      <c r="B11" t="n">
        <v>16000</v>
      </c>
      <c r="C11" t="n">
        <v>0</v>
      </c>
      <c r="D11">
        <f>B11*$B$1</f>
        <v/>
      </c>
      <c r="E11">
        <f>B11*$B$2</f>
        <v/>
      </c>
      <c r="F11">
        <f>B11+D11+E11</f>
        <v/>
      </c>
      <c r="G11">
        <f>F11*$B$3</f>
        <v/>
      </c>
      <c r="H11">
        <f>IF(C11=0,$B$4,0)</f>
        <v/>
      </c>
      <c r="I11">
        <f>F11-G11+H11</f>
        <v/>
      </c>
    </row>
    <row r="12">
      <c r="A12" s="1" t="inlineStr">
        <is>
          <t>Total</t>
        </is>
      </c>
      <c r="B12">
        <f>SUM(B7:B11)</f>
        <v/>
      </c>
      <c r="C12">
        <f>SUM(C7:C11)</f>
        <v/>
      </c>
      <c r="D12">
        <f>SUM(D7:D11)</f>
        <v/>
      </c>
      <c r="E12">
        <f>SUM(E7:E11)</f>
        <v/>
      </c>
      <c r="F12">
        <f>SUM(F7:F11)</f>
        <v/>
      </c>
      <c r="G12">
        <f>SUM(G7:G11)</f>
        <v/>
      </c>
      <c r="H12">
        <f>SUM(H7:H11)</f>
        <v/>
      </c>
      <c r="I12">
        <f>SUM(I7:I11)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